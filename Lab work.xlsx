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UMT\1st Semester\ICT\"/>
    </mc:Choice>
  </mc:AlternateContent>
  <xr:revisionPtr revIDLastSave="0" documentId="13_ncr:1_{846CFA9C-DF84-4915-92DE-E0B70365E16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Sheet1!$B$2:$H$54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K2" i="1"/>
  <c r="I2" i="1"/>
  <c r="G53" i="1"/>
  <c r="G51" i="1"/>
  <c r="G48" i="1"/>
  <c r="G46" i="1"/>
  <c r="G43" i="1"/>
  <c r="G42" i="1"/>
  <c r="G40" i="1"/>
  <c r="G37" i="1"/>
  <c r="G35" i="1"/>
  <c r="G31" i="1"/>
  <c r="G28" i="1"/>
  <c r="G26" i="1"/>
  <c r="G24" i="1"/>
  <c r="G22" i="1"/>
  <c r="G18" i="1"/>
  <c r="G16" i="1"/>
  <c r="G14" i="1"/>
  <c r="G11" i="1"/>
  <c r="G8" i="1"/>
  <c r="G6" i="1"/>
  <c r="G5" i="1"/>
  <c r="G2" i="1"/>
  <c r="E2" i="1"/>
  <c r="E53" i="1"/>
  <c r="E51" i="1"/>
  <c r="E48" i="1"/>
  <c r="E46" i="1"/>
  <c r="E43" i="1"/>
  <c r="E42" i="1"/>
  <c r="E40" i="1"/>
  <c r="E37" i="1"/>
  <c r="E35" i="1"/>
  <c r="E31" i="1"/>
  <c r="E28" i="1"/>
  <c r="E26" i="1"/>
  <c r="E24" i="1"/>
  <c r="E22" i="1"/>
  <c r="E18" i="1"/>
  <c r="E16" i="1"/>
  <c r="E14" i="1"/>
  <c r="E11" i="1"/>
  <c r="E8" i="1"/>
  <c r="E6" i="1"/>
  <c r="E5" i="1"/>
  <c r="C53" i="1"/>
  <c r="C51" i="1"/>
  <c r="C48" i="1"/>
  <c r="C46" i="1"/>
  <c r="C43" i="1"/>
  <c r="C42" i="1"/>
  <c r="C40" i="1"/>
  <c r="C37" i="1"/>
  <c r="C35" i="1"/>
  <c r="C31" i="1"/>
  <c r="C28" i="1"/>
  <c r="C26" i="1"/>
  <c r="C24" i="1"/>
  <c r="C22" i="1"/>
  <c r="C18" i="1"/>
  <c r="C16" i="1"/>
  <c r="C14" i="1"/>
  <c r="C11" i="1"/>
  <c r="C8" i="1"/>
  <c r="C6" i="1"/>
  <c r="C5" i="1"/>
  <c r="C2" i="1"/>
  <c r="B60" i="1"/>
  <c r="B59" i="1"/>
  <c r="B58" i="1"/>
  <c r="B57" i="1"/>
  <c r="J4" i="1"/>
  <c r="J32" i="1"/>
  <c r="J3" i="1"/>
  <c r="J13" i="1"/>
  <c r="J44" i="1"/>
  <c r="J12" i="1"/>
  <c r="J29" i="1"/>
  <c r="J36" i="1"/>
  <c r="J52" i="1"/>
  <c r="J21" i="1"/>
  <c r="J38" i="1"/>
  <c r="J7" i="1"/>
  <c r="J33" i="1"/>
  <c r="J50" i="1"/>
  <c r="J23" i="1"/>
  <c r="J47" i="1"/>
  <c r="J34" i="1"/>
  <c r="J15" i="1"/>
  <c r="J30" i="1"/>
  <c r="J45" i="1"/>
  <c r="J10" i="1"/>
  <c r="J49" i="1"/>
  <c r="J25" i="1"/>
  <c r="J20" i="1"/>
  <c r="J39" i="1"/>
  <c r="J19" i="1"/>
  <c r="J9" i="1"/>
  <c r="J17" i="1"/>
  <c r="J41" i="1"/>
  <c r="J54" i="1"/>
  <c r="J27" i="1"/>
  <c r="J26" i="1" l="1"/>
  <c r="J24" i="1"/>
  <c r="J43" i="1"/>
  <c r="J8" i="1"/>
  <c r="J6" i="1"/>
  <c r="J46" i="1"/>
  <c r="J28" i="1"/>
  <c r="J48" i="1"/>
  <c r="J11" i="1"/>
  <c r="J31" i="1"/>
  <c r="J14" i="1"/>
  <c r="J35" i="1"/>
  <c r="J53" i="1"/>
  <c r="J51" i="1"/>
  <c r="J2" i="1"/>
  <c r="J40" i="1"/>
  <c r="J37" i="1"/>
  <c r="J42" i="1"/>
  <c r="J5" i="1"/>
  <c r="J16" i="1"/>
  <c r="J18" i="1"/>
  <c r="J22" i="1"/>
</calcChain>
</file>

<file path=xl/sharedStrings.xml><?xml version="1.0" encoding="utf-8"?>
<sst xmlns="http://schemas.openxmlformats.org/spreadsheetml/2006/main" count="68" uniqueCount="66">
  <si>
    <t>Student Name</t>
  </si>
  <si>
    <t>Math</t>
  </si>
  <si>
    <t>Science</t>
  </si>
  <si>
    <t>English</t>
  </si>
  <si>
    <t>History</t>
  </si>
  <si>
    <t>John Smith</t>
  </si>
  <si>
    <t>Alice Brown</t>
  </si>
  <si>
    <t>Bob Johnson</t>
  </si>
  <si>
    <t>Sarah Lee</t>
  </si>
  <si>
    <t>Mike Davis</t>
  </si>
  <si>
    <t>Emily Clark</t>
  </si>
  <si>
    <t>William White</t>
  </si>
  <si>
    <t>Jessica Moore</t>
  </si>
  <si>
    <t>Lucas Brown</t>
  </si>
  <si>
    <t>Emma Davis</t>
  </si>
  <si>
    <t>James Wilson</t>
  </si>
  <si>
    <t>Olivia Miller</t>
  </si>
  <si>
    <t>Liam Harris</t>
  </si>
  <si>
    <t>Sophia Allen</t>
  </si>
  <si>
    <t>Mason Scott</t>
  </si>
  <si>
    <t>Isabella King</t>
  </si>
  <si>
    <t>Ethan Evans</t>
  </si>
  <si>
    <t>Mia Carter</t>
  </si>
  <si>
    <t>Benjamin Lee</t>
  </si>
  <si>
    <t>Chloe Green</t>
  </si>
  <si>
    <t>Aiden Nelson</t>
  </si>
  <si>
    <t>Scarlett Perez</t>
  </si>
  <si>
    <t>Jackson Bell</t>
  </si>
  <si>
    <t>Ella Cooper</t>
  </si>
  <si>
    <t>Daniel Lewis</t>
  </si>
  <si>
    <t>Lily Moore</t>
  </si>
  <si>
    <t>Noah Wright</t>
  </si>
  <si>
    <t>Grace Walker</t>
  </si>
  <si>
    <t>Oliver Adams</t>
  </si>
  <si>
    <t>Hannah Carter</t>
  </si>
  <si>
    <t>Mason Perez</t>
  </si>
  <si>
    <t>Amelia Green</t>
  </si>
  <si>
    <t>Sebastian Hill</t>
  </si>
  <si>
    <t>Charlotte Ward</t>
  </si>
  <si>
    <t>Jack Taylor</t>
  </si>
  <si>
    <t>Leo Mitchell</t>
  </si>
  <si>
    <t>Maya Robinson</t>
  </si>
  <si>
    <t>Daniel Clark</t>
  </si>
  <si>
    <t>Grace Williams</t>
  </si>
  <si>
    <t>Zachary Brooks</t>
  </si>
  <si>
    <t>Stella Young</t>
  </si>
  <si>
    <t>Benjamin Harris</t>
  </si>
  <si>
    <t>Leo Thompson</t>
  </si>
  <si>
    <t>Natalie King</t>
  </si>
  <si>
    <t>Lucas Carter</t>
  </si>
  <si>
    <t>Ryan Lee</t>
  </si>
  <si>
    <t>Lily Anderson</t>
  </si>
  <si>
    <t>Matthew Collins</t>
  </si>
  <si>
    <t>Abigail White</t>
  </si>
  <si>
    <t>Samuel Wilson</t>
  </si>
  <si>
    <t>Sophia Lee</t>
  </si>
  <si>
    <t>Chloe Davis</t>
  </si>
  <si>
    <t>Elijah Allen</t>
  </si>
  <si>
    <t>Average</t>
  </si>
  <si>
    <t>Maximum in Math is =</t>
  </si>
  <si>
    <t>Maximum in Science is =</t>
  </si>
  <si>
    <t>Maximum in English is =</t>
  </si>
  <si>
    <t>Maximum in History is =</t>
  </si>
  <si>
    <t>Percentage</t>
  </si>
  <si>
    <t>percentage</t>
  </si>
  <si>
    <t>Pass/Fail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</si>
</sst>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CC2E5"/>
      </right>
      <top/>
      <bottom style="medium">
        <color rgb="FF9CC2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9CC2E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thin">
        <color theme="5" tint="0.39997558519241921"/>
      </bottom>
      <diagonal/>
    </border>
    <border>
      <left/>
      <right style="medium">
        <color rgb="FF9CC2E5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2" fillId="3" borderId="4" xfId="0" applyFont="1" applyFill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0" fillId="4" borderId="3" xfId="0" applyFill="1" applyBorder="1"/>
    <xf numFmtId="0" fontId="0" fillId="4" borderId="5" xfId="0" applyFill="1" applyBorder="1"/>
    <xf numFmtId="0" fontId="0" fillId="0" borderId="7" xfId="0" applyBorder="1"/>
    <xf numFmtId="0" fontId="2" fillId="0" borderId="8" xfId="0" applyFont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2" fillId="0" borderId="9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4" borderId="10" xfId="0" applyFill="1" applyBorder="1"/>
    <xf numFmtId="0" fontId="2" fillId="3" borderId="6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</a:t>
            </a:r>
            <a:r>
              <a:rPr lang="en-US" baseline="0"/>
              <a:t> of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Sheet1!$B$2:$B$54</c:f>
              <c:numCache>
                <c:formatCode>General</c:formatCode>
                <c:ptCount val="53"/>
                <c:pt idx="0">
                  <c:v>85</c:v>
                </c:pt>
                <c:pt idx="1">
                  <c:v>92</c:v>
                </c:pt>
                <c:pt idx="2">
                  <c:v>75</c:v>
                </c:pt>
                <c:pt idx="3">
                  <c:v>88</c:v>
                </c:pt>
                <c:pt idx="4">
                  <c:v>95</c:v>
                </c:pt>
                <c:pt idx="5">
                  <c:v>72</c:v>
                </c:pt>
                <c:pt idx="6">
                  <c:v>88</c:v>
                </c:pt>
                <c:pt idx="7">
                  <c:v>93</c:v>
                </c:pt>
                <c:pt idx="8">
                  <c:v>80</c:v>
                </c:pt>
                <c:pt idx="9">
                  <c:v>91</c:v>
                </c:pt>
                <c:pt idx="10">
                  <c:v>78</c:v>
                </c:pt>
                <c:pt idx="11">
                  <c:v>85</c:v>
                </c:pt>
                <c:pt idx="12">
                  <c:v>90</c:v>
                </c:pt>
                <c:pt idx="13">
                  <c:v>78</c:v>
                </c:pt>
                <c:pt idx="14">
                  <c:v>95</c:v>
                </c:pt>
                <c:pt idx="15">
                  <c:v>80</c:v>
                </c:pt>
                <c:pt idx="16">
                  <c:v>89</c:v>
                </c:pt>
                <c:pt idx="17">
                  <c:v>82</c:v>
                </c:pt>
                <c:pt idx="18">
                  <c:v>77</c:v>
                </c:pt>
                <c:pt idx="19">
                  <c:v>84</c:v>
                </c:pt>
                <c:pt idx="20">
                  <c:v>94</c:v>
                </c:pt>
                <c:pt idx="21">
                  <c:v>88</c:v>
                </c:pt>
                <c:pt idx="22">
                  <c:v>90</c:v>
                </c:pt>
                <c:pt idx="23">
                  <c:v>83</c:v>
                </c:pt>
                <c:pt idx="24">
                  <c:v>89</c:v>
                </c:pt>
                <c:pt idx="25">
                  <c:v>75</c:v>
                </c:pt>
                <c:pt idx="26">
                  <c:v>90</c:v>
                </c:pt>
                <c:pt idx="27">
                  <c:v>82</c:v>
                </c:pt>
                <c:pt idx="28">
                  <c:v>87</c:v>
                </c:pt>
                <c:pt idx="29">
                  <c:v>91</c:v>
                </c:pt>
                <c:pt idx="30">
                  <c:v>78</c:v>
                </c:pt>
                <c:pt idx="31">
                  <c:v>88</c:v>
                </c:pt>
                <c:pt idx="32">
                  <c:v>80</c:v>
                </c:pt>
                <c:pt idx="33">
                  <c:v>92</c:v>
                </c:pt>
                <c:pt idx="34">
                  <c:v>89</c:v>
                </c:pt>
                <c:pt idx="35">
                  <c:v>94</c:v>
                </c:pt>
                <c:pt idx="36">
                  <c:v>87</c:v>
                </c:pt>
                <c:pt idx="37">
                  <c:v>75</c:v>
                </c:pt>
                <c:pt idx="38">
                  <c:v>93</c:v>
                </c:pt>
                <c:pt idx="39">
                  <c:v>82</c:v>
                </c:pt>
                <c:pt idx="40">
                  <c:v>88</c:v>
                </c:pt>
                <c:pt idx="41">
                  <c:v>90</c:v>
                </c:pt>
                <c:pt idx="42">
                  <c:v>85</c:v>
                </c:pt>
                <c:pt idx="43">
                  <c:v>78</c:v>
                </c:pt>
                <c:pt idx="44">
                  <c:v>91</c:v>
                </c:pt>
                <c:pt idx="45">
                  <c:v>85</c:v>
                </c:pt>
                <c:pt idx="46">
                  <c:v>93</c:v>
                </c:pt>
                <c:pt idx="47">
                  <c:v>77</c:v>
                </c:pt>
                <c:pt idx="48">
                  <c:v>82</c:v>
                </c:pt>
                <c:pt idx="49">
                  <c:v>91</c:v>
                </c:pt>
                <c:pt idx="50">
                  <c:v>88</c:v>
                </c:pt>
                <c:pt idx="51">
                  <c:v>94</c:v>
                </c:pt>
                <c:pt idx="5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F-4D2F-AA1F-895232DE471F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Sheet1!$D$2:$D$54</c:f>
              <c:numCache>
                <c:formatCode>General</c:formatCode>
                <c:ptCount val="53"/>
                <c:pt idx="0">
                  <c:v>90</c:v>
                </c:pt>
                <c:pt idx="1">
                  <c:v>89</c:v>
                </c:pt>
                <c:pt idx="2">
                  <c:v>80</c:v>
                </c:pt>
                <c:pt idx="3">
                  <c:v>91</c:v>
                </c:pt>
                <c:pt idx="4">
                  <c:v>96</c:v>
                </c:pt>
                <c:pt idx="5">
                  <c:v>65</c:v>
                </c:pt>
                <c:pt idx="6">
                  <c:v>89</c:v>
                </c:pt>
                <c:pt idx="7">
                  <c:v>85</c:v>
                </c:pt>
                <c:pt idx="8">
                  <c:v>87</c:v>
                </c:pt>
                <c:pt idx="9">
                  <c:v>92</c:v>
                </c:pt>
                <c:pt idx="10">
                  <c:v>83</c:v>
                </c:pt>
                <c:pt idx="11">
                  <c:v>88</c:v>
                </c:pt>
                <c:pt idx="12">
                  <c:v>92</c:v>
                </c:pt>
                <c:pt idx="13">
                  <c:v>81</c:v>
                </c:pt>
                <c:pt idx="14">
                  <c:v>96</c:v>
                </c:pt>
                <c:pt idx="15">
                  <c:v>85</c:v>
                </c:pt>
                <c:pt idx="16">
                  <c:v>88</c:v>
                </c:pt>
                <c:pt idx="17">
                  <c:v>83</c:v>
                </c:pt>
                <c:pt idx="18">
                  <c:v>80</c:v>
                </c:pt>
                <c:pt idx="19">
                  <c:v>89</c:v>
                </c:pt>
                <c:pt idx="20">
                  <c:v>96</c:v>
                </c:pt>
                <c:pt idx="21">
                  <c:v>84</c:v>
                </c:pt>
                <c:pt idx="22">
                  <c:v>91</c:v>
                </c:pt>
                <c:pt idx="23">
                  <c:v>79</c:v>
                </c:pt>
                <c:pt idx="24">
                  <c:v>92</c:v>
                </c:pt>
                <c:pt idx="25">
                  <c:v>80</c:v>
                </c:pt>
                <c:pt idx="26">
                  <c:v>93</c:v>
                </c:pt>
                <c:pt idx="27">
                  <c:v>84</c:v>
                </c:pt>
                <c:pt idx="28">
                  <c:v>91</c:v>
                </c:pt>
                <c:pt idx="29">
                  <c:v>93</c:v>
                </c:pt>
                <c:pt idx="30">
                  <c:v>80</c:v>
                </c:pt>
                <c:pt idx="31">
                  <c:v>90</c:v>
                </c:pt>
                <c:pt idx="32">
                  <c:v>84</c:v>
                </c:pt>
                <c:pt idx="33">
                  <c:v>94</c:v>
                </c:pt>
                <c:pt idx="34">
                  <c:v>85</c:v>
                </c:pt>
                <c:pt idx="35">
                  <c:v>96</c:v>
                </c:pt>
                <c:pt idx="36">
                  <c:v>81</c:v>
                </c:pt>
                <c:pt idx="37">
                  <c:v>79</c:v>
                </c:pt>
                <c:pt idx="38">
                  <c:v>91</c:v>
                </c:pt>
                <c:pt idx="39">
                  <c:v>85</c:v>
                </c:pt>
                <c:pt idx="40">
                  <c:v>89</c:v>
                </c:pt>
                <c:pt idx="41">
                  <c:v>91</c:v>
                </c:pt>
                <c:pt idx="42">
                  <c:v>82</c:v>
                </c:pt>
                <c:pt idx="43">
                  <c:v>76</c:v>
                </c:pt>
                <c:pt idx="44">
                  <c:v>92</c:v>
                </c:pt>
                <c:pt idx="45">
                  <c:v>88</c:v>
                </c:pt>
                <c:pt idx="46">
                  <c:v>91</c:v>
                </c:pt>
                <c:pt idx="47">
                  <c:v>78</c:v>
                </c:pt>
                <c:pt idx="48">
                  <c:v>80</c:v>
                </c:pt>
                <c:pt idx="49">
                  <c:v>93</c:v>
                </c:pt>
                <c:pt idx="50">
                  <c:v>84</c:v>
                </c:pt>
                <c:pt idx="51">
                  <c:v>96</c:v>
                </c:pt>
                <c:pt idx="52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5F-4D2F-AA1F-895232DE471F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Sheet1!$F$2:$F$54</c:f>
              <c:numCache>
                <c:formatCode>General</c:formatCode>
                <c:ptCount val="53"/>
                <c:pt idx="0">
                  <c:v>78</c:v>
                </c:pt>
                <c:pt idx="1">
                  <c:v>84</c:v>
                </c:pt>
                <c:pt idx="2">
                  <c:v>70</c:v>
                </c:pt>
                <c:pt idx="3">
                  <c:v>85</c:v>
                </c:pt>
                <c:pt idx="4">
                  <c:v>92</c:v>
                </c:pt>
                <c:pt idx="5">
                  <c:v>80</c:v>
                </c:pt>
                <c:pt idx="6">
                  <c:v>92</c:v>
                </c:pt>
                <c:pt idx="7">
                  <c:v>78</c:v>
                </c:pt>
                <c:pt idx="8">
                  <c:v>75</c:v>
                </c:pt>
                <c:pt idx="9">
                  <c:v>89</c:v>
                </c:pt>
                <c:pt idx="10">
                  <c:v>79</c:v>
                </c:pt>
                <c:pt idx="11">
                  <c:v>84</c:v>
                </c:pt>
                <c:pt idx="12">
                  <c:v>87</c:v>
                </c:pt>
                <c:pt idx="13">
                  <c:v>79</c:v>
                </c:pt>
                <c:pt idx="14">
                  <c:v>93</c:v>
                </c:pt>
                <c:pt idx="15">
                  <c:v>86</c:v>
                </c:pt>
                <c:pt idx="16">
                  <c:v>92</c:v>
                </c:pt>
                <c:pt idx="17">
                  <c:v>81</c:v>
                </c:pt>
                <c:pt idx="18">
                  <c:v>78</c:v>
                </c:pt>
                <c:pt idx="19">
                  <c:v>88</c:v>
                </c:pt>
                <c:pt idx="20">
                  <c:v>91</c:v>
                </c:pt>
                <c:pt idx="21">
                  <c:v>85</c:v>
                </c:pt>
                <c:pt idx="22">
                  <c:v>92</c:v>
                </c:pt>
                <c:pt idx="23">
                  <c:v>80</c:v>
                </c:pt>
                <c:pt idx="24">
                  <c:v>88</c:v>
                </c:pt>
                <c:pt idx="25">
                  <c:v>74</c:v>
                </c:pt>
                <c:pt idx="26">
                  <c:v>85</c:v>
                </c:pt>
                <c:pt idx="27">
                  <c:v>80</c:v>
                </c:pt>
                <c:pt idx="28">
                  <c:v>83</c:v>
                </c:pt>
                <c:pt idx="29">
                  <c:v>89</c:v>
                </c:pt>
                <c:pt idx="30">
                  <c:v>77</c:v>
                </c:pt>
                <c:pt idx="31">
                  <c:v>85</c:v>
                </c:pt>
                <c:pt idx="32">
                  <c:v>79</c:v>
                </c:pt>
                <c:pt idx="33">
                  <c:v>91</c:v>
                </c:pt>
                <c:pt idx="34">
                  <c:v>82</c:v>
                </c:pt>
                <c:pt idx="35">
                  <c:v>93</c:v>
                </c:pt>
                <c:pt idx="36">
                  <c:v>85</c:v>
                </c:pt>
                <c:pt idx="37">
                  <c:v>80</c:v>
                </c:pt>
                <c:pt idx="38">
                  <c:v>90</c:v>
                </c:pt>
                <c:pt idx="39">
                  <c:v>83</c:v>
                </c:pt>
                <c:pt idx="40">
                  <c:v>91</c:v>
                </c:pt>
                <c:pt idx="41">
                  <c:v>92</c:v>
                </c:pt>
                <c:pt idx="42">
                  <c:v>86</c:v>
                </c:pt>
                <c:pt idx="43">
                  <c:v>80</c:v>
                </c:pt>
                <c:pt idx="44">
                  <c:v>90</c:v>
                </c:pt>
                <c:pt idx="45">
                  <c:v>82</c:v>
                </c:pt>
                <c:pt idx="46">
                  <c:v>85</c:v>
                </c:pt>
                <c:pt idx="47">
                  <c:v>80</c:v>
                </c:pt>
                <c:pt idx="48">
                  <c:v>83</c:v>
                </c:pt>
                <c:pt idx="49">
                  <c:v>89</c:v>
                </c:pt>
                <c:pt idx="50">
                  <c:v>86</c:v>
                </c:pt>
                <c:pt idx="51">
                  <c:v>95</c:v>
                </c:pt>
                <c:pt idx="5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5F-4D2F-AA1F-895232DE471F}"/>
            </c:ext>
          </c:extLst>
        </c:ser>
        <c:ser>
          <c:idx val="3"/>
          <c:order val="3"/>
          <c:tx>
            <c:strRef>
              <c:f>Sheet1!$H$1</c:f>
              <c:strCache>
                <c:ptCount val="1"/>
                <c:pt idx="0">
                  <c:v>History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Sheet1!$H$2:$H$54</c:f>
              <c:numCache>
                <c:formatCode>General</c:formatCode>
                <c:ptCount val="53"/>
                <c:pt idx="0">
                  <c:v>88</c:v>
                </c:pt>
                <c:pt idx="1">
                  <c:v>91</c:v>
                </c:pt>
                <c:pt idx="2">
                  <c:v>72</c:v>
                </c:pt>
                <c:pt idx="3">
                  <c:v>87</c:v>
                </c:pt>
                <c:pt idx="4">
                  <c:v>98</c:v>
                </c:pt>
                <c:pt idx="5">
                  <c:v>74</c:v>
                </c:pt>
                <c:pt idx="6">
                  <c:v>95</c:v>
                </c:pt>
                <c:pt idx="7">
                  <c:v>84</c:v>
                </c:pt>
                <c:pt idx="8">
                  <c:v>82</c:v>
                </c:pt>
                <c:pt idx="9">
                  <c:v>93</c:v>
                </c:pt>
                <c:pt idx="10">
                  <c:v>82</c:v>
                </c:pt>
                <c:pt idx="11">
                  <c:v>90</c:v>
                </c:pt>
                <c:pt idx="12">
                  <c:v>88</c:v>
                </c:pt>
                <c:pt idx="13">
                  <c:v>80</c:v>
                </c:pt>
                <c:pt idx="14">
                  <c:v>94</c:v>
                </c:pt>
                <c:pt idx="15">
                  <c:v>88</c:v>
                </c:pt>
                <c:pt idx="16">
                  <c:v>91</c:v>
                </c:pt>
                <c:pt idx="17">
                  <c:v>85</c:v>
                </c:pt>
                <c:pt idx="18">
                  <c:v>75</c:v>
                </c:pt>
                <c:pt idx="19">
                  <c:v>90</c:v>
                </c:pt>
                <c:pt idx="20">
                  <c:v>92</c:v>
                </c:pt>
                <c:pt idx="21">
                  <c:v>86</c:v>
                </c:pt>
                <c:pt idx="22">
                  <c:v>94</c:v>
                </c:pt>
                <c:pt idx="23">
                  <c:v>82</c:v>
                </c:pt>
                <c:pt idx="24">
                  <c:v>85</c:v>
                </c:pt>
                <c:pt idx="25">
                  <c:v>78</c:v>
                </c:pt>
                <c:pt idx="26">
                  <c:v>89</c:v>
                </c:pt>
                <c:pt idx="27">
                  <c:v>81</c:v>
                </c:pt>
                <c:pt idx="28">
                  <c:v>86</c:v>
                </c:pt>
                <c:pt idx="29">
                  <c:v>92</c:v>
                </c:pt>
                <c:pt idx="30">
                  <c:v>82</c:v>
                </c:pt>
                <c:pt idx="31">
                  <c:v>83</c:v>
                </c:pt>
                <c:pt idx="32">
                  <c:v>85</c:v>
                </c:pt>
                <c:pt idx="33">
                  <c:v>93</c:v>
                </c:pt>
                <c:pt idx="34">
                  <c:v>88</c:v>
                </c:pt>
                <c:pt idx="35">
                  <c:v>94</c:v>
                </c:pt>
                <c:pt idx="36">
                  <c:v>90</c:v>
                </c:pt>
                <c:pt idx="37">
                  <c:v>76</c:v>
                </c:pt>
                <c:pt idx="38">
                  <c:v>95</c:v>
                </c:pt>
                <c:pt idx="39">
                  <c:v>87</c:v>
                </c:pt>
                <c:pt idx="40">
                  <c:v>93</c:v>
                </c:pt>
                <c:pt idx="41">
                  <c:v>93</c:v>
                </c:pt>
                <c:pt idx="42">
                  <c:v>80</c:v>
                </c:pt>
                <c:pt idx="43">
                  <c:v>75</c:v>
                </c:pt>
                <c:pt idx="44">
                  <c:v>91</c:v>
                </c:pt>
                <c:pt idx="45">
                  <c:v>89</c:v>
                </c:pt>
                <c:pt idx="46">
                  <c:v>94</c:v>
                </c:pt>
                <c:pt idx="47">
                  <c:v>75</c:v>
                </c:pt>
                <c:pt idx="48">
                  <c:v>84</c:v>
                </c:pt>
                <c:pt idx="49">
                  <c:v>90</c:v>
                </c:pt>
                <c:pt idx="50">
                  <c:v>92</c:v>
                </c:pt>
                <c:pt idx="51">
                  <c:v>97</c:v>
                </c:pt>
                <c:pt idx="52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5F-4D2F-AA1F-895232DE4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637072"/>
        <c:axId val="647639952"/>
      </c:barChart>
      <c:lineChart>
        <c:grouping val="standard"/>
        <c:varyColors val="0"/>
        <c:ser>
          <c:idx val="4"/>
          <c:order val="4"/>
          <c:tx>
            <c:strRef>
              <c:f>Sheet1!$J$1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Sheet1!$J$2:$J$54</c:f>
              <c:numCache>
                <c:formatCode>General</c:formatCode>
                <c:ptCount val="53"/>
                <c:pt idx="0">
                  <c:v>84.857142857142861</c:v>
                </c:pt>
                <c:pt idx="1">
                  <c:v>89</c:v>
                </c:pt>
                <c:pt idx="2">
                  <c:v>74.25</c:v>
                </c:pt>
                <c:pt idx="3">
                  <c:v>87.857142857142861</c:v>
                </c:pt>
                <c:pt idx="4">
                  <c:v>94.857142857142861</c:v>
                </c:pt>
                <c:pt idx="5">
                  <c:v>72.75</c:v>
                </c:pt>
                <c:pt idx="6">
                  <c:v>90.428571428571431</c:v>
                </c:pt>
                <c:pt idx="7">
                  <c:v>85</c:v>
                </c:pt>
                <c:pt idx="8">
                  <c:v>81</c:v>
                </c:pt>
                <c:pt idx="9">
                  <c:v>91</c:v>
                </c:pt>
                <c:pt idx="10">
                  <c:v>80.5</c:v>
                </c:pt>
                <c:pt idx="11">
                  <c:v>86.75</c:v>
                </c:pt>
                <c:pt idx="12">
                  <c:v>89.428571428571431</c:v>
                </c:pt>
                <c:pt idx="13">
                  <c:v>79.5</c:v>
                </c:pt>
                <c:pt idx="14">
                  <c:v>94.571428571428569</c:v>
                </c:pt>
                <c:pt idx="15">
                  <c:v>84.75</c:v>
                </c:pt>
                <c:pt idx="16">
                  <c:v>89.857142857142861</c:v>
                </c:pt>
                <c:pt idx="17">
                  <c:v>82.75</c:v>
                </c:pt>
                <c:pt idx="18">
                  <c:v>77.5</c:v>
                </c:pt>
                <c:pt idx="19">
                  <c:v>87.75</c:v>
                </c:pt>
                <c:pt idx="20">
                  <c:v>93.428571428571431</c:v>
                </c:pt>
                <c:pt idx="21">
                  <c:v>85.75</c:v>
                </c:pt>
                <c:pt idx="22">
                  <c:v>91.428571428571431</c:v>
                </c:pt>
                <c:pt idx="23">
                  <c:v>81</c:v>
                </c:pt>
                <c:pt idx="24">
                  <c:v>89</c:v>
                </c:pt>
                <c:pt idx="25">
                  <c:v>76.75</c:v>
                </c:pt>
                <c:pt idx="26">
                  <c:v>89.285714285714292</c:v>
                </c:pt>
                <c:pt idx="27">
                  <c:v>81.75</c:v>
                </c:pt>
                <c:pt idx="28">
                  <c:v>86.75</c:v>
                </c:pt>
                <c:pt idx="29">
                  <c:v>91.142857142857139</c:v>
                </c:pt>
                <c:pt idx="30">
                  <c:v>79.25</c:v>
                </c:pt>
                <c:pt idx="31">
                  <c:v>86.5</c:v>
                </c:pt>
                <c:pt idx="32">
                  <c:v>82</c:v>
                </c:pt>
                <c:pt idx="33">
                  <c:v>92.428571428571431</c:v>
                </c:pt>
                <c:pt idx="34">
                  <c:v>86</c:v>
                </c:pt>
                <c:pt idx="35">
                  <c:v>94.285714285714292</c:v>
                </c:pt>
                <c:pt idx="36">
                  <c:v>85.75</c:v>
                </c:pt>
                <c:pt idx="37">
                  <c:v>77.5</c:v>
                </c:pt>
                <c:pt idx="38">
                  <c:v>91.857142857142861</c:v>
                </c:pt>
                <c:pt idx="39">
                  <c:v>84.25</c:v>
                </c:pt>
                <c:pt idx="40">
                  <c:v>89.857142857142861</c:v>
                </c:pt>
                <c:pt idx="41">
                  <c:v>91.285714285714292</c:v>
                </c:pt>
                <c:pt idx="42">
                  <c:v>83.25</c:v>
                </c:pt>
                <c:pt idx="43">
                  <c:v>77.25</c:v>
                </c:pt>
                <c:pt idx="44">
                  <c:v>91</c:v>
                </c:pt>
                <c:pt idx="45">
                  <c:v>86</c:v>
                </c:pt>
                <c:pt idx="46">
                  <c:v>90.285714285714292</c:v>
                </c:pt>
                <c:pt idx="47">
                  <c:v>77.5</c:v>
                </c:pt>
                <c:pt idx="48">
                  <c:v>82.25</c:v>
                </c:pt>
                <c:pt idx="49">
                  <c:v>90.857142857142861</c:v>
                </c:pt>
                <c:pt idx="50">
                  <c:v>87.5</c:v>
                </c:pt>
                <c:pt idx="51">
                  <c:v>95.285714285714292</c:v>
                </c:pt>
                <c:pt idx="52">
                  <c:v>86.25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5F-4D2F-AA1F-895232DE4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637072"/>
        <c:axId val="647639952"/>
      </c:lineChart>
      <c:catAx>
        <c:axId val="647637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Student No</a:t>
                </a:r>
              </a:p>
            </c:rich>
          </c:tx>
          <c:layout>
            <c:manualLayout>
              <c:xMode val="edge"/>
              <c:yMode val="edge"/>
              <c:x val="0.49731389959233818"/>
              <c:y val="0.79752370817489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39952"/>
        <c:crosses val="autoZero"/>
        <c:auto val="1"/>
        <c:lblAlgn val="ctr"/>
        <c:lblOffset val="100"/>
        <c:noMultiLvlLbl val="0"/>
      </c:catAx>
      <c:valAx>
        <c:axId val="64763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3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601980</xdr:colOff>
      <xdr:row>0</xdr:row>
      <xdr:rowOff>190506</xdr:rowOff>
    </xdr:from>
    <xdr:to>
      <xdr:col>27</xdr:col>
      <xdr:colOff>53340</xdr:colOff>
      <xdr:row>45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8DA911-4C74-AF02-7E88-4D7AB11ED4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workbookViewId="0">
      <pane ySplit="1" topLeftCell="A2" activePane="bottomLeft" state="frozen"/>
      <selection pane="bottomLeft" activeCell="K49" sqref="K49"/>
    </sheetView>
  </sheetViews>
  <sheetFormatPr defaultRowHeight="14.4" x14ac:dyDescent="0.3"/>
  <cols>
    <col min="1" max="1" width="20.88671875" bestFit="1" customWidth="1"/>
    <col min="2" max="2" width="6" bestFit="1" customWidth="1"/>
    <col min="3" max="3" width="11.6640625" bestFit="1" customWidth="1"/>
    <col min="4" max="4" width="8.109375" bestFit="1" customWidth="1"/>
    <col min="5" max="5" width="11.44140625" bestFit="1" customWidth="1"/>
    <col min="6" max="6" width="7.77734375" bestFit="1" customWidth="1"/>
    <col min="7" max="7" width="11.6640625" bestFit="1" customWidth="1"/>
    <col min="8" max="8" width="8" bestFit="1" customWidth="1"/>
    <col min="9" max="9" width="11.6640625" bestFit="1" customWidth="1"/>
    <col min="10" max="10" width="12" bestFit="1" customWidth="1"/>
  </cols>
  <sheetData>
    <row r="1" spans="1:12" ht="15.6" x14ac:dyDescent="0.3">
      <c r="A1" s="11" t="s">
        <v>0</v>
      </c>
      <c r="B1" s="11" t="s">
        <v>1</v>
      </c>
      <c r="C1" s="11" t="s">
        <v>63</v>
      </c>
      <c r="D1" s="11" t="s">
        <v>2</v>
      </c>
      <c r="E1" s="11" t="s">
        <v>64</v>
      </c>
      <c r="F1" s="11" t="s">
        <v>3</v>
      </c>
      <c r="G1" s="11" t="s">
        <v>63</v>
      </c>
      <c r="H1" s="11" t="s">
        <v>4</v>
      </c>
      <c r="I1" s="11" t="s">
        <v>63</v>
      </c>
      <c r="J1" s="11" t="s">
        <v>58</v>
      </c>
      <c r="K1" s="11" t="s">
        <v>65</v>
      </c>
    </row>
    <row r="2" spans="1:12" ht="16.2" thickBot="1" x14ac:dyDescent="0.35">
      <c r="A2" s="1" t="s">
        <v>5</v>
      </c>
      <c r="B2" s="2">
        <v>85</v>
      </c>
      <c r="C2" s="2">
        <f>(B2/100)*100</f>
        <v>85</v>
      </c>
      <c r="D2" s="2">
        <v>90</v>
      </c>
      <c r="E2" s="2">
        <f>D2/100 *100</f>
        <v>90</v>
      </c>
      <c r="F2" s="2">
        <v>78</v>
      </c>
      <c r="G2" s="5">
        <f>F2/100*100</f>
        <v>78</v>
      </c>
      <c r="H2" s="5">
        <v>88</v>
      </c>
      <c r="I2" s="15">
        <f>H2/100*100</f>
        <v>88</v>
      </c>
      <c r="J2" s="14">
        <f t="shared" ref="J2:J33" si="0">AVERAGE(B2:H2)</f>
        <v>84.857142857142861</v>
      </c>
      <c r="K2" t="str">
        <f>IF(J2 &gt;= 80, "Pass", "Fail")</f>
        <v>Pass</v>
      </c>
    </row>
    <row r="3" spans="1:12" ht="16.2" thickBot="1" x14ac:dyDescent="0.35">
      <c r="A3" s="3" t="s">
        <v>6</v>
      </c>
      <c r="B3" s="4">
        <v>92</v>
      </c>
      <c r="C3" s="4"/>
      <c r="D3" s="4">
        <v>89</v>
      </c>
      <c r="E3" s="4"/>
      <c r="F3" s="4">
        <v>84</v>
      </c>
      <c r="G3" s="6"/>
      <c r="H3" s="6">
        <v>91</v>
      </c>
      <c r="I3" s="15">
        <f t="shared" ref="I3:I54" si="1">H3/100*100</f>
        <v>91</v>
      </c>
      <c r="J3" s="7">
        <f t="shared" si="0"/>
        <v>89</v>
      </c>
      <c r="K3" t="str">
        <f t="shared" ref="K3:K54" si="2">IF(J3 &gt;= 80, "Pass", "Fail")</f>
        <v>Pass</v>
      </c>
    </row>
    <row r="4" spans="1:12" ht="16.2" thickBot="1" x14ac:dyDescent="0.35">
      <c r="A4" s="1" t="s">
        <v>7</v>
      </c>
      <c r="B4" s="2">
        <v>75</v>
      </c>
      <c r="C4" s="2"/>
      <c r="D4" s="2">
        <v>80</v>
      </c>
      <c r="E4" s="2"/>
      <c r="F4" s="2">
        <v>70</v>
      </c>
      <c r="G4" s="5"/>
      <c r="H4" s="5">
        <v>72</v>
      </c>
      <c r="I4" s="15">
        <f t="shared" si="1"/>
        <v>72</v>
      </c>
      <c r="J4" s="7">
        <f t="shared" si="0"/>
        <v>74.25</v>
      </c>
      <c r="K4" t="str">
        <f t="shared" si="2"/>
        <v>Fail</v>
      </c>
    </row>
    <row r="5" spans="1:12" ht="16.2" thickBot="1" x14ac:dyDescent="0.35">
      <c r="A5" s="3" t="s">
        <v>8</v>
      </c>
      <c r="B5" s="4">
        <v>88</v>
      </c>
      <c r="C5" s="2">
        <f t="shared" ref="C5:C6" si="3">(B5/100)*100</f>
        <v>88</v>
      </c>
      <c r="D5" s="4">
        <v>91</v>
      </c>
      <c r="E5" s="2">
        <f t="shared" ref="E5:E6" si="4">D5/100 *100</f>
        <v>91</v>
      </c>
      <c r="F5" s="4">
        <v>85</v>
      </c>
      <c r="G5" s="5">
        <f t="shared" ref="G5:G6" si="5">F5/100*100</f>
        <v>85</v>
      </c>
      <c r="H5" s="6">
        <v>87</v>
      </c>
      <c r="I5" s="15">
        <f t="shared" si="1"/>
        <v>87</v>
      </c>
      <c r="J5" s="8">
        <f t="shared" si="0"/>
        <v>87.857142857142861</v>
      </c>
      <c r="K5" t="str">
        <f t="shared" si="2"/>
        <v>Pass</v>
      </c>
    </row>
    <row r="6" spans="1:12" ht="16.2" thickBot="1" x14ac:dyDescent="0.35">
      <c r="A6" s="1" t="s">
        <v>9</v>
      </c>
      <c r="B6" s="2">
        <v>95</v>
      </c>
      <c r="C6" s="2">
        <f t="shared" si="3"/>
        <v>95</v>
      </c>
      <c r="D6" s="2">
        <v>96</v>
      </c>
      <c r="E6" s="2">
        <f t="shared" si="4"/>
        <v>96</v>
      </c>
      <c r="F6" s="2">
        <v>92</v>
      </c>
      <c r="G6" s="5">
        <f t="shared" si="5"/>
        <v>92</v>
      </c>
      <c r="H6" s="5">
        <v>98</v>
      </c>
      <c r="I6" s="15">
        <f t="shared" si="1"/>
        <v>98</v>
      </c>
      <c r="J6" s="8">
        <f t="shared" si="0"/>
        <v>94.857142857142861</v>
      </c>
      <c r="K6" t="str">
        <f t="shared" si="2"/>
        <v>Pass</v>
      </c>
    </row>
    <row r="7" spans="1:12" ht="16.2" thickBot="1" x14ac:dyDescent="0.35">
      <c r="A7" s="3" t="s">
        <v>10</v>
      </c>
      <c r="B7" s="4">
        <v>72</v>
      </c>
      <c r="C7" s="4"/>
      <c r="D7" s="4">
        <v>65</v>
      </c>
      <c r="E7" s="12"/>
      <c r="F7" s="10">
        <v>80</v>
      </c>
      <c r="G7" s="13"/>
      <c r="H7" s="6">
        <v>74</v>
      </c>
      <c r="I7" s="15">
        <f t="shared" si="1"/>
        <v>74</v>
      </c>
      <c r="J7" s="7">
        <f t="shared" si="0"/>
        <v>72.75</v>
      </c>
      <c r="K7" t="str">
        <f t="shared" si="2"/>
        <v>Fail</v>
      </c>
    </row>
    <row r="8" spans="1:12" ht="16.2" thickBot="1" x14ac:dyDescent="0.35">
      <c r="A8" s="1" t="s">
        <v>11</v>
      </c>
      <c r="B8" s="2">
        <v>88</v>
      </c>
      <c r="C8" s="2">
        <f>(B8/100)*100</f>
        <v>88</v>
      </c>
      <c r="D8" s="2">
        <v>89</v>
      </c>
      <c r="E8" s="2">
        <f>D8/100 *100</f>
        <v>89</v>
      </c>
      <c r="F8" s="2">
        <v>92</v>
      </c>
      <c r="G8" s="5">
        <f>F8/100*100</f>
        <v>92</v>
      </c>
      <c r="H8" s="5">
        <v>95</v>
      </c>
      <c r="I8" s="15">
        <f t="shared" si="1"/>
        <v>95</v>
      </c>
      <c r="J8" s="8">
        <f t="shared" si="0"/>
        <v>90.428571428571431</v>
      </c>
      <c r="K8" t="str">
        <f t="shared" si="2"/>
        <v>Pass</v>
      </c>
      <c r="L8" s="9"/>
    </row>
    <row r="9" spans="1:12" ht="16.2" thickBot="1" x14ac:dyDescent="0.35">
      <c r="A9" s="3" t="s">
        <v>12</v>
      </c>
      <c r="B9" s="4">
        <v>93</v>
      </c>
      <c r="C9" s="4"/>
      <c r="D9" s="4">
        <v>85</v>
      </c>
      <c r="E9" s="4"/>
      <c r="F9" s="4">
        <v>78</v>
      </c>
      <c r="G9" s="6"/>
      <c r="H9" s="6">
        <v>84</v>
      </c>
      <c r="I9" s="15">
        <f t="shared" si="1"/>
        <v>84</v>
      </c>
      <c r="J9" s="7">
        <f t="shared" si="0"/>
        <v>85</v>
      </c>
      <c r="K9" t="str">
        <f t="shared" si="2"/>
        <v>Pass</v>
      </c>
    </row>
    <row r="10" spans="1:12" ht="16.2" thickBot="1" x14ac:dyDescent="0.35">
      <c r="A10" s="1" t="s">
        <v>13</v>
      </c>
      <c r="B10" s="2">
        <v>80</v>
      </c>
      <c r="C10" s="2"/>
      <c r="D10" s="2">
        <v>87</v>
      </c>
      <c r="E10" s="2"/>
      <c r="F10" s="2">
        <v>75</v>
      </c>
      <c r="G10" s="5"/>
      <c r="H10" s="5">
        <v>82</v>
      </c>
      <c r="I10" s="15">
        <f t="shared" si="1"/>
        <v>82</v>
      </c>
      <c r="J10" s="7">
        <f t="shared" si="0"/>
        <v>81</v>
      </c>
      <c r="K10" t="str">
        <f t="shared" si="2"/>
        <v>Pass</v>
      </c>
    </row>
    <row r="11" spans="1:12" ht="16.2" thickBot="1" x14ac:dyDescent="0.35">
      <c r="A11" s="3" t="s">
        <v>14</v>
      </c>
      <c r="B11" s="4">
        <v>91</v>
      </c>
      <c r="C11" s="2">
        <f>(B11/100)*100</f>
        <v>91</v>
      </c>
      <c r="D11" s="4">
        <v>92</v>
      </c>
      <c r="E11" s="2">
        <f>D11/100 *100</f>
        <v>92</v>
      </c>
      <c r="F11" s="4">
        <v>89</v>
      </c>
      <c r="G11" s="5">
        <f>F11/100*100</f>
        <v>89</v>
      </c>
      <c r="H11" s="6">
        <v>93</v>
      </c>
      <c r="I11" s="15">
        <f t="shared" si="1"/>
        <v>93</v>
      </c>
      <c r="J11" s="8">
        <f t="shared" si="0"/>
        <v>91</v>
      </c>
      <c r="K11" t="str">
        <f t="shared" si="2"/>
        <v>Pass</v>
      </c>
    </row>
    <row r="12" spans="1:12" ht="16.2" thickBot="1" x14ac:dyDescent="0.35">
      <c r="A12" s="1" t="s">
        <v>15</v>
      </c>
      <c r="B12" s="2">
        <v>78</v>
      </c>
      <c r="C12" s="2"/>
      <c r="D12" s="2">
        <v>83</v>
      </c>
      <c r="E12" s="2"/>
      <c r="F12" s="2">
        <v>79</v>
      </c>
      <c r="G12" s="5"/>
      <c r="H12" s="5">
        <v>82</v>
      </c>
      <c r="I12" s="15">
        <f t="shared" si="1"/>
        <v>82</v>
      </c>
      <c r="J12" s="7">
        <f t="shared" si="0"/>
        <v>80.5</v>
      </c>
      <c r="K12" t="str">
        <f t="shared" si="2"/>
        <v>Pass</v>
      </c>
    </row>
    <row r="13" spans="1:12" ht="16.2" thickBot="1" x14ac:dyDescent="0.35">
      <c r="A13" s="3" t="s">
        <v>16</v>
      </c>
      <c r="B13" s="4">
        <v>85</v>
      </c>
      <c r="C13" s="4"/>
      <c r="D13" s="4">
        <v>88</v>
      </c>
      <c r="E13" s="4"/>
      <c r="F13" s="4">
        <v>84</v>
      </c>
      <c r="G13" s="6"/>
      <c r="H13" s="6">
        <v>90</v>
      </c>
      <c r="I13" s="15">
        <f t="shared" si="1"/>
        <v>90</v>
      </c>
      <c r="J13" s="7">
        <f t="shared" si="0"/>
        <v>86.75</v>
      </c>
      <c r="K13" t="str">
        <f t="shared" si="2"/>
        <v>Pass</v>
      </c>
    </row>
    <row r="14" spans="1:12" ht="16.2" thickBot="1" x14ac:dyDescent="0.35">
      <c r="A14" s="1" t="s">
        <v>17</v>
      </c>
      <c r="B14" s="2">
        <v>90</v>
      </c>
      <c r="C14" s="2">
        <f>(B14/100)*100</f>
        <v>90</v>
      </c>
      <c r="D14" s="2">
        <v>92</v>
      </c>
      <c r="E14" s="2">
        <f>D14/100 *100</f>
        <v>92</v>
      </c>
      <c r="F14" s="2">
        <v>87</v>
      </c>
      <c r="G14" s="5">
        <f>F14/100*100</f>
        <v>87</v>
      </c>
      <c r="H14" s="5">
        <v>88</v>
      </c>
      <c r="I14" s="15">
        <f t="shared" si="1"/>
        <v>88</v>
      </c>
      <c r="J14" s="8">
        <f t="shared" si="0"/>
        <v>89.428571428571431</v>
      </c>
      <c r="K14" t="str">
        <f t="shared" si="2"/>
        <v>Pass</v>
      </c>
    </row>
    <row r="15" spans="1:12" ht="16.2" thickBot="1" x14ac:dyDescent="0.35">
      <c r="A15" s="3" t="s">
        <v>18</v>
      </c>
      <c r="B15" s="4">
        <v>78</v>
      </c>
      <c r="C15" s="4"/>
      <c r="D15" s="4">
        <v>81</v>
      </c>
      <c r="E15" s="4"/>
      <c r="F15" s="4">
        <v>79</v>
      </c>
      <c r="G15" s="6"/>
      <c r="H15" s="6">
        <v>80</v>
      </c>
      <c r="I15" s="15">
        <f t="shared" si="1"/>
        <v>80</v>
      </c>
      <c r="J15" s="7">
        <f t="shared" si="0"/>
        <v>79.5</v>
      </c>
      <c r="K15" t="str">
        <f t="shared" si="2"/>
        <v>Fail</v>
      </c>
    </row>
    <row r="16" spans="1:12" ht="16.2" thickBot="1" x14ac:dyDescent="0.35">
      <c r="A16" s="1" t="s">
        <v>19</v>
      </c>
      <c r="B16" s="2">
        <v>95</v>
      </c>
      <c r="C16" s="2">
        <f>(B16/100)*100</f>
        <v>95</v>
      </c>
      <c r="D16" s="2">
        <v>96</v>
      </c>
      <c r="E16" s="2">
        <f>D16/100 *100</f>
        <v>96</v>
      </c>
      <c r="F16" s="2">
        <v>93</v>
      </c>
      <c r="G16" s="5">
        <f>F16/100*100</f>
        <v>93</v>
      </c>
      <c r="H16" s="5">
        <v>94</v>
      </c>
      <c r="I16" s="15">
        <f t="shared" si="1"/>
        <v>94</v>
      </c>
      <c r="J16" s="8">
        <f t="shared" si="0"/>
        <v>94.571428571428569</v>
      </c>
      <c r="K16" t="str">
        <f t="shared" si="2"/>
        <v>Pass</v>
      </c>
    </row>
    <row r="17" spans="1:11" ht="16.2" thickBot="1" x14ac:dyDescent="0.35">
      <c r="A17" s="3" t="s">
        <v>20</v>
      </c>
      <c r="B17" s="4">
        <v>80</v>
      </c>
      <c r="C17" s="4"/>
      <c r="D17" s="4">
        <v>85</v>
      </c>
      <c r="E17" s="4"/>
      <c r="F17" s="4">
        <v>86</v>
      </c>
      <c r="G17" s="6"/>
      <c r="H17" s="6">
        <v>88</v>
      </c>
      <c r="I17" s="15">
        <f t="shared" si="1"/>
        <v>88</v>
      </c>
      <c r="J17" s="7">
        <f t="shared" si="0"/>
        <v>84.75</v>
      </c>
      <c r="K17" t="str">
        <f t="shared" si="2"/>
        <v>Pass</v>
      </c>
    </row>
    <row r="18" spans="1:11" ht="16.2" thickBot="1" x14ac:dyDescent="0.35">
      <c r="A18" s="1" t="s">
        <v>21</v>
      </c>
      <c r="B18" s="2">
        <v>89</v>
      </c>
      <c r="C18" s="2">
        <f>(B18/100)*100</f>
        <v>89</v>
      </c>
      <c r="D18" s="2">
        <v>88</v>
      </c>
      <c r="E18" s="2">
        <f>D18/100 *100</f>
        <v>88</v>
      </c>
      <c r="F18" s="2">
        <v>92</v>
      </c>
      <c r="G18" s="5">
        <f>F18/100*100</f>
        <v>92</v>
      </c>
      <c r="H18" s="5">
        <v>91</v>
      </c>
      <c r="I18" s="15">
        <f t="shared" si="1"/>
        <v>91</v>
      </c>
      <c r="J18" s="8">
        <f t="shared" si="0"/>
        <v>89.857142857142861</v>
      </c>
      <c r="K18" t="str">
        <f t="shared" si="2"/>
        <v>Pass</v>
      </c>
    </row>
    <row r="19" spans="1:11" ht="16.2" thickBot="1" x14ac:dyDescent="0.35">
      <c r="A19" s="3" t="s">
        <v>22</v>
      </c>
      <c r="B19" s="4">
        <v>82</v>
      </c>
      <c r="C19" s="4"/>
      <c r="D19" s="4">
        <v>83</v>
      </c>
      <c r="E19" s="4"/>
      <c r="F19" s="4">
        <v>81</v>
      </c>
      <c r="G19" s="6"/>
      <c r="H19" s="6">
        <v>85</v>
      </c>
      <c r="I19" s="15">
        <f t="shared" si="1"/>
        <v>85</v>
      </c>
      <c r="J19" s="7">
        <f t="shared" si="0"/>
        <v>82.75</v>
      </c>
      <c r="K19" t="str">
        <f t="shared" si="2"/>
        <v>Pass</v>
      </c>
    </row>
    <row r="20" spans="1:11" ht="16.2" thickBot="1" x14ac:dyDescent="0.35">
      <c r="A20" s="1" t="s">
        <v>23</v>
      </c>
      <c r="B20" s="2">
        <v>77</v>
      </c>
      <c r="C20" s="2"/>
      <c r="D20" s="2">
        <v>80</v>
      </c>
      <c r="E20" s="2"/>
      <c r="F20" s="2">
        <v>78</v>
      </c>
      <c r="G20" s="5"/>
      <c r="H20" s="5">
        <v>75</v>
      </c>
      <c r="I20" s="15">
        <f t="shared" si="1"/>
        <v>75</v>
      </c>
      <c r="J20" s="7">
        <f t="shared" si="0"/>
        <v>77.5</v>
      </c>
      <c r="K20" t="str">
        <f t="shared" si="2"/>
        <v>Fail</v>
      </c>
    </row>
    <row r="21" spans="1:11" ht="16.2" thickBot="1" x14ac:dyDescent="0.35">
      <c r="A21" s="3" t="s">
        <v>24</v>
      </c>
      <c r="B21" s="4">
        <v>84</v>
      </c>
      <c r="C21" s="4"/>
      <c r="D21" s="4">
        <v>89</v>
      </c>
      <c r="E21" s="4"/>
      <c r="F21" s="4">
        <v>88</v>
      </c>
      <c r="G21" s="6"/>
      <c r="H21" s="6">
        <v>90</v>
      </c>
      <c r="I21" s="15">
        <f t="shared" si="1"/>
        <v>90</v>
      </c>
      <c r="J21" s="7">
        <f t="shared" si="0"/>
        <v>87.75</v>
      </c>
      <c r="K21" t="str">
        <f t="shared" si="2"/>
        <v>Pass</v>
      </c>
    </row>
    <row r="22" spans="1:11" ht="16.2" thickBot="1" x14ac:dyDescent="0.35">
      <c r="A22" s="1" t="s">
        <v>25</v>
      </c>
      <c r="B22" s="2">
        <v>94</v>
      </c>
      <c r="C22" s="2">
        <f>(B22/100)*100</f>
        <v>94</v>
      </c>
      <c r="D22" s="2">
        <v>96</v>
      </c>
      <c r="E22" s="2">
        <f>D22/100 *100</f>
        <v>96</v>
      </c>
      <c r="F22" s="2">
        <v>91</v>
      </c>
      <c r="G22" s="5">
        <f>F22/100*100</f>
        <v>91</v>
      </c>
      <c r="H22" s="5">
        <v>92</v>
      </c>
      <c r="I22" s="15">
        <f t="shared" si="1"/>
        <v>92</v>
      </c>
      <c r="J22" s="8">
        <f t="shared" si="0"/>
        <v>93.428571428571431</v>
      </c>
      <c r="K22" t="str">
        <f t="shared" si="2"/>
        <v>Pass</v>
      </c>
    </row>
    <row r="23" spans="1:11" ht="16.2" thickBot="1" x14ac:dyDescent="0.35">
      <c r="A23" s="3" t="s">
        <v>26</v>
      </c>
      <c r="B23" s="4">
        <v>88</v>
      </c>
      <c r="C23" s="4"/>
      <c r="D23" s="4">
        <v>84</v>
      </c>
      <c r="E23" s="4"/>
      <c r="F23" s="4">
        <v>85</v>
      </c>
      <c r="G23" s="6"/>
      <c r="H23" s="6">
        <v>86</v>
      </c>
      <c r="I23" s="15">
        <f t="shared" si="1"/>
        <v>86</v>
      </c>
      <c r="J23" s="7">
        <f t="shared" si="0"/>
        <v>85.75</v>
      </c>
      <c r="K23" t="str">
        <f t="shared" si="2"/>
        <v>Pass</v>
      </c>
    </row>
    <row r="24" spans="1:11" ht="16.2" thickBot="1" x14ac:dyDescent="0.35">
      <c r="A24" s="1" t="s">
        <v>27</v>
      </c>
      <c r="B24" s="2">
        <v>90</v>
      </c>
      <c r="C24" s="2">
        <f>(B24/100)*100</f>
        <v>90</v>
      </c>
      <c r="D24" s="2">
        <v>91</v>
      </c>
      <c r="E24" s="2">
        <f>D24/100 *100</f>
        <v>91</v>
      </c>
      <c r="F24" s="2">
        <v>92</v>
      </c>
      <c r="G24" s="5">
        <f>F24/100*100</f>
        <v>92</v>
      </c>
      <c r="H24" s="5">
        <v>94</v>
      </c>
      <c r="I24" s="15">
        <f t="shared" si="1"/>
        <v>94</v>
      </c>
      <c r="J24" s="8">
        <f t="shared" si="0"/>
        <v>91.428571428571431</v>
      </c>
      <c r="K24" t="str">
        <f t="shared" si="2"/>
        <v>Pass</v>
      </c>
    </row>
    <row r="25" spans="1:11" ht="16.2" thickBot="1" x14ac:dyDescent="0.35">
      <c r="A25" s="3" t="s">
        <v>28</v>
      </c>
      <c r="B25" s="4">
        <v>83</v>
      </c>
      <c r="C25" s="4"/>
      <c r="D25" s="4">
        <v>79</v>
      </c>
      <c r="E25" s="4"/>
      <c r="F25" s="4">
        <v>80</v>
      </c>
      <c r="G25" s="6"/>
      <c r="H25" s="6">
        <v>82</v>
      </c>
      <c r="I25" s="15">
        <f t="shared" si="1"/>
        <v>82</v>
      </c>
      <c r="J25" s="7">
        <f t="shared" si="0"/>
        <v>81</v>
      </c>
      <c r="K25" t="str">
        <f t="shared" si="2"/>
        <v>Pass</v>
      </c>
    </row>
    <row r="26" spans="1:11" ht="16.2" thickBot="1" x14ac:dyDescent="0.35">
      <c r="A26" s="1" t="s">
        <v>29</v>
      </c>
      <c r="B26" s="2">
        <v>89</v>
      </c>
      <c r="C26" s="2">
        <f>(B26/100)*100</f>
        <v>89</v>
      </c>
      <c r="D26" s="2">
        <v>92</v>
      </c>
      <c r="E26" s="2">
        <f>D26/100 *100</f>
        <v>92</v>
      </c>
      <c r="F26" s="2">
        <v>88</v>
      </c>
      <c r="G26" s="5">
        <f>F26/100*100</f>
        <v>88</v>
      </c>
      <c r="H26" s="5">
        <v>85</v>
      </c>
      <c r="I26" s="15">
        <f t="shared" si="1"/>
        <v>85</v>
      </c>
      <c r="J26" s="8">
        <f t="shared" si="0"/>
        <v>89</v>
      </c>
      <c r="K26" t="str">
        <f t="shared" si="2"/>
        <v>Pass</v>
      </c>
    </row>
    <row r="27" spans="1:11" ht="16.2" thickBot="1" x14ac:dyDescent="0.35">
      <c r="A27" s="3" t="s">
        <v>30</v>
      </c>
      <c r="B27" s="4">
        <v>75</v>
      </c>
      <c r="C27" s="4"/>
      <c r="D27" s="4">
        <v>80</v>
      </c>
      <c r="E27" s="4"/>
      <c r="F27" s="4">
        <v>74</v>
      </c>
      <c r="G27" s="6"/>
      <c r="H27" s="6">
        <v>78</v>
      </c>
      <c r="I27" s="15">
        <f t="shared" si="1"/>
        <v>78</v>
      </c>
      <c r="J27" s="7">
        <f t="shared" si="0"/>
        <v>76.75</v>
      </c>
      <c r="K27" t="str">
        <f t="shared" si="2"/>
        <v>Fail</v>
      </c>
    </row>
    <row r="28" spans="1:11" ht="16.2" thickBot="1" x14ac:dyDescent="0.35">
      <c r="A28" s="1" t="s">
        <v>31</v>
      </c>
      <c r="B28" s="2">
        <v>90</v>
      </c>
      <c r="C28" s="2">
        <f>(B28/100)*100</f>
        <v>90</v>
      </c>
      <c r="D28" s="2">
        <v>93</v>
      </c>
      <c r="E28" s="2">
        <f>D28/100 *100</f>
        <v>93</v>
      </c>
      <c r="F28" s="2">
        <v>85</v>
      </c>
      <c r="G28" s="5">
        <f>F28/100*100</f>
        <v>85</v>
      </c>
      <c r="H28" s="5">
        <v>89</v>
      </c>
      <c r="I28" s="15">
        <f t="shared" si="1"/>
        <v>89</v>
      </c>
      <c r="J28" s="8">
        <f t="shared" si="0"/>
        <v>89.285714285714292</v>
      </c>
      <c r="K28" t="str">
        <f t="shared" si="2"/>
        <v>Pass</v>
      </c>
    </row>
    <row r="29" spans="1:11" ht="16.2" thickBot="1" x14ac:dyDescent="0.35">
      <c r="A29" s="3" t="s">
        <v>32</v>
      </c>
      <c r="B29" s="4">
        <v>82</v>
      </c>
      <c r="C29" s="4"/>
      <c r="D29" s="4">
        <v>84</v>
      </c>
      <c r="E29" s="4"/>
      <c r="F29" s="4">
        <v>80</v>
      </c>
      <c r="G29" s="6"/>
      <c r="H29" s="6">
        <v>81</v>
      </c>
      <c r="I29" s="15">
        <f t="shared" si="1"/>
        <v>81</v>
      </c>
      <c r="J29" s="7">
        <f t="shared" si="0"/>
        <v>81.75</v>
      </c>
      <c r="K29" t="str">
        <f t="shared" si="2"/>
        <v>Pass</v>
      </c>
    </row>
    <row r="30" spans="1:11" ht="16.2" thickBot="1" x14ac:dyDescent="0.35">
      <c r="A30" s="1" t="s">
        <v>33</v>
      </c>
      <c r="B30" s="2">
        <v>87</v>
      </c>
      <c r="C30" s="2"/>
      <c r="D30" s="2">
        <v>91</v>
      </c>
      <c r="E30" s="2"/>
      <c r="F30" s="2">
        <v>83</v>
      </c>
      <c r="G30" s="5"/>
      <c r="H30" s="5">
        <v>86</v>
      </c>
      <c r="I30" s="15">
        <f t="shared" si="1"/>
        <v>86</v>
      </c>
      <c r="J30" s="7">
        <f t="shared" si="0"/>
        <v>86.75</v>
      </c>
      <c r="K30" t="str">
        <f t="shared" si="2"/>
        <v>Pass</v>
      </c>
    </row>
    <row r="31" spans="1:11" ht="16.2" thickBot="1" x14ac:dyDescent="0.35">
      <c r="A31" s="3" t="s">
        <v>34</v>
      </c>
      <c r="B31" s="4">
        <v>91</v>
      </c>
      <c r="C31" s="2">
        <f>(B31/100)*100</f>
        <v>91</v>
      </c>
      <c r="D31" s="4">
        <v>93</v>
      </c>
      <c r="E31" s="2">
        <f>D31/100 *100</f>
        <v>93</v>
      </c>
      <c r="F31" s="4">
        <v>89</v>
      </c>
      <c r="G31" s="5">
        <f>F31/100*100</f>
        <v>89</v>
      </c>
      <c r="H31" s="6">
        <v>92</v>
      </c>
      <c r="I31" s="15">
        <f t="shared" si="1"/>
        <v>92</v>
      </c>
      <c r="J31" s="8">
        <f t="shared" si="0"/>
        <v>91.142857142857139</v>
      </c>
      <c r="K31" t="str">
        <f t="shared" si="2"/>
        <v>Pass</v>
      </c>
    </row>
    <row r="32" spans="1:11" ht="16.2" thickBot="1" x14ac:dyDescent="0.35">
      <c r="A32" s="1" t="s">
        <v>35</v>
      </c>
      <c r="B32" s="2">
        <v>78</v>
      </c>
      <c r="C32" s="2"/>
      <c r="D32" s="2">
        <v>80</v>
      </c>
      <c r="E32" s="2"/>
      <c r="F32" s="2">
        <v>77</v>
      </c>
      <c r="G32" s="5"/>
      <c r="H32" s="5">
        <v>82</v>
      </c>
      <c r="I32" s="15">
        <f t="shared" si="1"/>
        <v>82</v>
      </c>
      <c r="J32" s="7">
        <f t="shared" si="0"/>
        <v>79.25</v>
      </c>
      <c r="K32" t="str">
        <f t="shared" si="2"/>
        <v>Fail</v>
      </c>
    </row>
    <row r="33" spans="1:11" ht="16.2" thickBot="1" x14ac:dyDescent="0.35">
      <c r="A33" s="3" t="s">
        <v>36</v>
      </c>
      <c r="B33" s="4">
        <v>88</v>
      </c>
      <c r="C33" s="4"/>
      <c r="D33" s="4">
        <v>90</v>
      </c>
      <c r="E33" s="4"/>
      <c r="F33" s="4">
        <v>85</v>
      </c>
      <c r="G33" s="6"/>
      <c r="H33" s="6">
        <v>83</v>
      </c>
      <c r="I33" s="15">
        <f t="shared" si="1"/>
        <v>83</v>
      </c>
      <c r="J33" s="7">
        <f t="shared" si="0"/>
        <v>86.5</v>
      </c>
      <c r="K33" t="str">
        <f t="shared" si="2"/>
        <v>Pass</v>
      </c>
    </row>
    <row r="34" spans="1:11" ht="16.2" thickBot="1" x14ac:dyDescent="0.35">
      <c r="A34" s="1" t="s">
        <v>37</v>
      </c>
      <c r="B34" s="2">
        <v>80</v>
      </c>
      <c r="C34" s="2"/>
      <c r="D34" s="2">
        <v>84</v>
      </c>
      <c r="E34" s="2"/>
      <c r="F34" s="2">
        <v>79</v>
      </c>
      <c r="G34" s="5"/>
      <c r="H34" s="5">
        <v>85</v>
      </c>
      <c r="I34" s="15">
        <f t="shared" si="1"/>
        <v>85</v>
      </c>
      <c r="J34" s="7">
        <f t="shared" ref="J34:J54" si="6">AVERAGE(B34:H34)</f>
        <v>82</v>
      </c>
      <c r="K34" t="str">
        <f t="shared" si="2"/>
        <v>Pass</v>
      </c>
    </row>
    <row r="35" spans="1:11" ht="16.2" thickBot="1" x14ac:dyDescent="0.35">
      <c r="A35" s="3" t="s">
        <v>38</v>
      </c>
      <c r="B35" s="4">
        <v>92</v>
      </c>
      <c r="C35" s="2">
        <f>(B35/100)*100</f>
        <v>92</v>
      </c>
      <c r="D35" s="4">
        <v>94</v>
      </c>
      <c r="E35" s="2">
        <f>D35/100 *100</f>
        <v>94</v>
      </c>
      <c r="F35" s="4">
        <v>91</v>
      </c>
      <c r="G35" s="5">
        <f>F35/100*100</f>
        <v>91</v>
      </c>
      <c r="H35" s="6">
        <v>93</v>
      </c>
      <c r="I35" s="15">
        <f t="shared" si="1"/>
        <v>93</v>
      </c>
      <c r="J35" s="8">
        <f t="shared" si="6"/>
        <v>92.428571428571431</v>
      </c>
      <c r="K35" t="str">
        <f t="shared" si="2"/>
        <v>Pass</v>
      </c>
    </row>
    <row r="36" spans="1:11" ht="16.2" thickBot="1" x14ac:dyDescent="0.35">
      <c r="A36" s="1" t="s">
        <v>39</v>
      </c>
      <c r="B36" s="2">
        <v>89</v>
      </c>
      <c r="C36" s="2"/>
      <c r="D36" s="2">
        <v>85</v>
      </c>
      <c r="E36" s="2"/>
      <c r="F36" s="2">
        <v>82</v>
      </c>
      <c r="G36" s="5"/>
      <c r="H36" s="5">
        <v>88</v>
      </c>
      <c r="I36" s="15">
        <f t="shared" si="1"/>
        <v>88</v>
      </c>
      <c r="J36" s="7">
        <f t="shared" si="6"/>
        <v>86</v>
      </c>
      <c r="K36" t="str">
        <f t="shared" si="2"/>
        <v>Pass</v>
      </c>
    </row>
    <row r="37" spans="1:11" ht="16.2" thickBot="1" x14ac:dyDescent="0.35">
      <c r="A37" s="3" t="s">
        <v>40</v>
      </c>
      <c r="B37" s="4">
        <v>94</v>
      </c>
      <c r="C37" s="2">
        <f>(B37/100)*100</f>
        <v>94</v>
      </c>
      <c r="D37" s="4">
        <v>96</v>
      </c>
      <c r="E37" s="2">
        <f>D37/100 *100</f>
        <v>96</v>
      </c>
      <c r="F37" s="4">
        <v>93</v>
      </c>
      <c r="G37" s="5">
        <f>F37/100*100</f>
        <v>93</v>
      </c>
      <c r="H37" s="6">
        <v>94</v>
      </c>
      <c r="I37" s="15">
        <f t="shared" si="1"/>
        <v>94</v>
      </c>
      <c r="J37" s="8">
        <f t="shared" si="6"/>
        <v>94.285714285714292</v>
      </c>
      <c r="K37" t="str">
        <f t="shared" si="2"/>
        <v>Pass</v>
      </c>
    </row>
    <row r="38" spans="1:11" ht="16.2" thickBot="1" x14ac:dyDescent="0.35">
      <c r="A38" s="1" t="s">
        <v>41</v>
      </c>
      <c r="B38" s="2">
        <v>87</v>
      </c>
      <c r="C38" s="2"/>
      <c r="D38" s="2">
        <v>81</v>
      </c>
      <c r="E38" s="2"/>
      <c r="F38" s="2">
        <v>85</v>
      </c>
      <c r="G38" s="5"/>
      <c r="H38" s="5">
        <v>90</v>
      </c>
      <c r="I38" s="15">
        <f t="shared" si="1"/>
        <v>90</v>
      </c>
      <c r="J38" s="7">
        <f t="shared" si="6"/>
        <v>85.75</v>
      </c>
      <c r="K38" t="str">
        <f t="shared" si="2"/>
        <v>Pass</v>
      </c>
    </row>
    <row r="39" spans="1:11" ht="16.2" thickBot="1" x14ac:dyDescent="0.35">
      <c r="A39" s="3" t="s">
        <v>42</v>
      </c>
      <c r="B39" s="4">
        <v>75</v>
      </c>
      <c r="C39" s="4"/>
      <c r="D39" s="4">
        <v>79</v>
      </c>
      <c r="E39" s="4"/>
      <c r="F39" s="4">
        <v>80</v>
      </c>
      <c r="G39" s="6"/>
      <c r="H39" s="6">
        <v>76</v>
      </c>
      <c r="I39" s="15">
        <f t="shared" si="1"/>
        <v>76</v>
      </c>
      <c r="J39" s="7">
        <f t="shared" si="6"/>
        <v>77.5</v>
      </c>
      <c r="K39" t="str">
        <f t="shared" si="2"/>
        <v>Fail</v>
      </c>
    </row>
    <row r="40" spans="1:11" ht="16.2" thickBot="1" x14ac:dyDescent="0.35">
      <c r="A40" s="1" t="s">
        <v>43</v>
      </c>
      <c r="B40" s="2">
        <v>93</v>
      </c>
      <c r="C40" s="2">
        <f>(B40/100)*100</f>
        <v>93</v>
      </c>
      <c r="D40" s="2">
        <v>91</v>
      </c>
      <c r="E40" s="2">
        <f>D40/100 *100</f>
        <v>91</v>
      </c>
      <c r="F40" s="2">
        <v>90</v>
      </c>
      <c r="G40" s="5">
        <f>F40/100*100</f>
        <v>90</v>
      </c>
      <c r="H40" s="5">
        <v>95</v>
      </c>
      <c r="I40" s="15">
        <f t="shared" si="1"/>
        <v>95</v>
      </c>
      <c r="J40" s="8">
        <f t="shared" si="6"/>
        <v>91.857142857142861</v>
      </c>
      <c r="K40" t="str">
        <f t="shared" si="2"/>
        <v>Pass</v>
      </c>
    </row>
    <row r="41" spans="1:11" ht="16.2" thickBot="1" x14ac:dyDescent="0.35">
      <c r="A41" s="3" t="s">
        <v>44</v>
      </c>
      <c r="B41" s="4">
        <v>82</v>
      </c>
      <c r="C41" s="4"/>
      <c r="D41" s="4">
        <v>85</v>
      </c>
      <c r="E41" s="4"/>
      <c r="F41" s="4">
        <v>83</v>
      </c>
      <c r="G41" s="6"/>
      <c r="H41" s="6">
        <v>87</v>
      </c>
      <c r="I41" s="15">
        <f t="shared" si="1"/>
        <v>87</v>
      </c>
      <c r="J41" s="7">
        <f t="shared" si="6"/>
        <v>84.25</v>
      </c>
      <c r="K41" t="str">
        <f t="shared" si="2"/>
        <v>Pass</v>
      </c>
    </row>
    <row r="42" spans="1:11" ht="16.2" thickBot="1" x14ac:dyDescent="0.35">
      <c r="A42" s="1" t="s">
        <v>45</v>
      </c>
      <c r="B42" s="2">
        <v>88</v>
      </c>
      <c r="C42" s="2">
        <f t="shared" ref="C42:C43" si="7">(B42/100)*100</f>
        <v>88</v>
      </c>
      <c r="D42" s="2">
        <v>89</v>
      </c>
      <c r="E42" s="2">
        <f t="shared" ref="E42:E43" si="8">D42/100 *100</f>
        <v>89</v>
      </c>
      <c r="F42" s="2">
        <v>91</v>
      </c>
      <c r="G42" s="5">
        <f t="shared" ref="G42:G43" si="9">F42/100*100</f>
        <v>91</v>
      </c>
      <c r="H42" s="5">
        <v>93</v>
      </c>
      <c r="I42" s="15">
        <f t="shared" si="1"/>
        <v>93</v>
      </c>
      <c r="J42" s="8">
        <f t="shared" si="6"/>
        <v>89.857142857142861</v>
      </c>
      <c r="K42" t="str">
        <f t="shared" si="2"/>
        <v>Pass</v>
      </c>
    </row>
    <row r="43" spans="1:11" ht="16.2" thickBot="1" x14ac:dyDescent="0.35">
      <c r="A43" s="3" t="s">
        <v>46</v>
      </c>
      <c r="B43" s="4">
        <v>90</v>
      </c>
      <c r="C43" s="2">
        <f t="shared" si="7"/>
        <v>90</v>
      </c>
      <c r="D43" s="4">
        <v>91</v>
      </c>
      <c r="E43" s="2">
        <f t="shared" si="8"/>
        <v>91</v>
      </c>
      <c r="F43" s="4">
        <v>92</v>
      </c>
      <c r="G43" s="5">
        <f t="shared" si="9"/>
        <v>92</v>
      </c>
      <c r="H43" s="6">
        <v>93</v>
      </c>
      <c r="I43" s="15">
        <f t="shared" si="1"/>
        <v>93</v>
      </c>
      <c r="J43" s="8">
        <f t="shared" si="6"/>
        <v>91.285714285714292</v>
      </c>
      <c r="K43" t="str">
        <f t="shared" si="2"/>
        <v>Pass</v>
      </c>
    </row>
    <row r="44" spans="1:11" ht="16.2" thickBot="1" x14ac:dyDescent="0.35">
      <c r="A44" s="1" t="s">
        <v>47</v>
      </c>
      <c r="B44" s="2">
        <v>85</v>
      </c>
      <c r="C44" s="2"/>
      <c r="D44" s="2">
        <v>82</v>
      </c>
      <c r="E44" s="2"/>
      <c r="F44" s="2">
        <v>86</v>
      </c>
      <c r="G44" s="5"/>
      <c r="H44" s="5">
        <v>80</v>
      </c>
      <c r="I44" s="15">
        <f t="shared" si="1"/>
        <v>80</v>
      </c>
      <c r="J44" s="7">
        <f t="shared" si="6"/>
        <v>83.25</v>
      </c>
      <c r="K44" t="str">
        <f t="shared" si="2"/>
        <v>Pass</v>
      </c>
    </row>
    <row r="45" spans="1:11" ht="16.2" thickBot="1" x14ac:dyDescent="0.35">
      <c r="A45" s="3" t="s">
        <v>48</v>
      </c>
      <c r="B45" s="4">
        <v>78</v>
      </c>
      <c r="C45" s="4"/>
      <c r="D45" s="4">
        <v>76</v>
      </c>
      <c r="E45" s="4"/>
      <c r="F45" s="4">
        <v>80</v>
      </c>
      <c r="G45" s="6"/>
      <c r="H45" s="6">
        <v>75</v>
      </c>
      <c r="I45" s="15">
        <f t="shared" si="1"/>
        <v>75</v>
      </c>
      <c r="J45" s="7">
        <f t="shared" si="6"/>
        <v>77.25</v>
      </c>
      <c r="K45" t="str">
        <f t="shared" si="2"/>
        <v>Fail</v>
      </c>
    </row>
    <row r="46" spans="1:11" ht="16.2" thickBot="1" x14ac:dyDescent="0.35">
      <c r="A46" s="1" t="s">
        <v>49</v>
      </c>
      <c r="B46" s="2">
        <v>91</v>
      </c>
      <c r="C46" s="2">
        <f>(B46/100)*100</f>
        <v>91</v>
      </c>
      <c r="D46" s="2">
        <v>92</v>
      </c>
      <c r="E46" s="2">
        <f>D46/100 *100</f>
        <v>92</v>
      </c>
      <c r="F46" s="2">
        <v>90</v>
      </c>
      <c r="G46" s="5">
        <f>F46/100*100</f>
        <v>90</v>
      </c>
      <c r="H46" s="5">
        <v>91</v>
      </c>
      <c r="I46" s="15">
        <f t="shared" si="1"/>
        <v>91</v>
      </c>
      <c r="J46" s="8">
        <f t="shared" si="6"/>
        <v>91</v>
      </c>
      <c r="K46" t="str">
        <f t="shared" si="2"/>
        <v>Pass</v>
      </c>
    </row>
    <row r="47" spans="1:11" ht="16.2" thickBot="1" x14ac:dyDescent="0.35">
      <c r="A47" s="3" t="s">
        <v>50</v>
      </c>
      <c r="B47" s="4">
        <v>85</v>
      </c>
      <c r="C47" s="4"/>
      <c r="D47" s="4">
        <v>88</v>
      </c>
      <c r="E47" s="4"/>
      <c r="F47" s="4">
        <v>82</v>
      </c>
      <c r="G47" s="6"/>
      <c r="H47" s="6">
        <v>89</v>
      </c>
      <c r="I47" s="15">
        <f t="shared" si="1"/>
        <v>89</v>
      </c>
      <c r="J47" s="7">
        <f t="shared" si="6"/>
        <v>86</v>
      </c>
      <c r="K47" t="str">
        <f t="shared" si="2"/>
        <v>Pass</v>
      </c>
    </row>
    <row r="48" spans="1:11" ht="16.2" thickBot="1" x14ac:dyDescent="0.35">
      <c r="A48" s="1" t="s">
        <v>51</v>
      </c>
      <c r="B48" s="2">
        <v>93</v>
      </c>
      <c r="C48" s="2">
        <f>(B48/100)*100</f>
        <v>93</v>
      </c>
      <c r="D48" s="2">
        <v>91</v>
      </c>
      <c r="E48" s="2">
        <f>D48/100 *100</f>
        <v>91</v>
      </c>
      <c r="F48" s="2">
        <v>85</v>
      </c>
      <c r="G48" s="5">
        <f>F48/100*100</f>
        <v>85</v>
      </c>
      <c r="H48" s="5">
        <v>94</v>
      </c>
      <c r="I48" s="15">
        <f t="shared" si="1"/>
        <v>94</v>
      </c>
      <c r="J48" s="8">
        <f t="shared" si="6"/>
        <v>90.285714285714292</v>
      </c>
      <c r="K48" t="str">
        <f t="shared" si="2"/>
        <v>Pass</v>
      </c>
    </row>
    <row r="49" spans="1:11" ht="16.2" thickBot="1" x14ac:dyDescent="0.35">
      <c r="A49" s="3" t="s">
        <v>52</v>
      </c>
      <c r="B49" s="4">
        <v>77</v>
      </c>
      <c r="C49" s="4"/>
      <c r="D49" s="4">
        <v>78</v>
      </c>
      <c r="E49" s="4"/>
      <c r="F49" s="4">
        <v>80</v>
      </c>
      <c r="G49" s="6"/>
      <c r="H49" s="6">
        <v>75</v>
      </c>
      <c r="I49" s="15">
        <f t="shared" si="1"/>
        <v>75</v>
      </c>
      <c r="J49" s="7">
        <f t="shared" si="6"/>
        <v>77.5</v>
      </c>
      <c r="K49" t="str">
        <f t="shared" si="2"/>
        <v>Fail</v>
      </c>
    </row>
    <row r="50" spans="1:11" ht="16.2" thickBot="1" x14ac:dyDescent="0.35">
      <c r="A50" s="1" t="s">
        <v>53</v>
      </c>
      <c r="B50" s="2">
        <v>82</v>
      </c>
      <c r="C50" s="2"/>
      <c r="D50" s="2">
        <v>80</v>
      </c>
      <c r="E50" s="2"/>
      <c r="F50" s="2">
        <v>83</v>
      </c>
      <c r="G50" s="5"/>
      <c r="H50" s="5">
        <v>84</v>
      </c>
      <c r="I50" s="15">
        <f t="shared" si="1"/>
        <v>84</v>
      </c>
      <c r="J50" s="7">
        <f t="shared" si="6"/>
        <v>82.25</v>
      </c>
      <c r="K50" t="str">
        <f t="shared" si="2"/>
        <v>Pass</v>
      </c>
    </row>
    <row r="51" spans="1:11" ht="16.2" thickBot="1" x14ac:dyDescent="0.35">
      <c r="A51" s="3" t="s">
        <v>54</v>
      </c>
      <c r="B51" s="4">
        <v>91</v>
      </c>
      <c r="C51" s="2">
        <f>(B51/100)*100</f>
        <v>91</v>
      </c>
      <c r="D51" s="4">
        <v>93</v>
      </c>
      <c r="E51" s="2">
        <f>D51/100 *100</f>
        <v>93</v>
      </c>
      <c r="F51" s="4">
        <v>89</v>
      </c>
      <c r="G51" s="5">
        <f>F51/100*100</f>
        <v>89</v>
      </c>
      <c r="H51" s="6">
        <v>90</v>
      </c>
      <c r="I51" s="15">
        <f t="shared" si="1"/>
        <v>90</v>
      </c>
      <c r="J51" s="8">
        <f t="shared" si="6"/>
        <v>90.857142857142861</v>
      </c>
      <c r="K51" t="str">
        <f t="shared" si="2"/>
        <v>Pass</v>
      </c>
    </row>
    <row r="52" spans="1:11" ht="16.2" thickBot="1" x14ac:dyDescent="0.35">
      <c r="A52" s="1" t="s">
        <v>55</v>
      </c>
      <c r="B52" s="2">
        <v>88</v>
      </c>
      <c r="C52" s="2"/>
      <c r="D52" s="2">
        <v>84</v>
      </c>
      <c r="E52" s="2"/>
      <c r="F52" s="2">
        <v>86</v>
      </c>
      <c r="G52" s="5"/>
      <c r="H52" s="5">
        <v>92</v>
      </c>
      <c r="I52" s="15">
        <f t="shared" si="1"/>
        <v>92</v>
      </c>
      <c r="J52" s="7">
        <f t="shared" si="6"/>
        <v>87.5</v>
      </c>
      <c r="K52" t="str">
        <f t="shared" si="2"/>
        <v>Pass</v>
      </c>
    </row>
    <row r="53" spans="1:11" ht="16.2" thickBot="1" x14ac:dyDescent="0.35">
      <c r="A53" s="3" t="s">
        <v>56</v>
      </c>
      <c r="B53" s="4">
        <v>94</v>
      </c>
      <c r="C53" s="2">
        <f>(B53/100)*100</f>
        <v>94</v>
      </c>
      <c r="D53" s="4">
        <v>96</v>
      </c>
      <c r="E53" s="2">
        <f>D53/100 *100</f>
        <v>96</v>
      </c>
      <c r="F53" s="4">
        <v>95</v>
      </c>
      <c r="G53" s="5">
        <f>F53/100*100</f>
        <v>95</v>
      </c>
      <c r="H53" s="6">
        <v>97</v>
      </c>
      <c r="I53" s="15">
        <f t="shared" si="1"/>
        <v>97</v>
      </c>
      <c r="J53" s="8">
        <f t="shared" si="6"/>
        <v>95.285714285714292</v>
      </c>
      <c r="K53" t="str">
        <f t="shared" si="2"/>
        <v>Pass</v>
      </c>
    </row>
    <row r="54" spans="1:11" ht="16.2" thickBot="1" x14ac:dyDescent="0.35">
      <c r="A54" s="1" t="s">
        <v>57</v>
      </c>
      <c r="B54" s="2">
        <v>85</v>
      </c>
      <c r="C54" s="2"/>
      <c r="D54" s="2">
        <v>89</v>
      </c>
      <c r="E54" s="2"/>
      <c r="F54" s="2">
        <v>83</v>
      </c>
      <c r="G54" s="5"/>
      <c r="H54" s="5">
        <v>88</v>
      </c>
      <c r="I54" s="15">
        <f t="shared" si="1"/>
        <v>88</v>
      </c>
      <c r="J54" s="7">
        <f t="shared" si="6"/>
        <v>86.25</v>
      </c>
      <c r="K54" t="str">
        <f t="shared" si="2"/>
        <v>Pass</v>
      </c>
    </row>
    <row r="57" spans="1:11" x14ac:dyDescent="0.3">
      <c r="A57" t="s">
        <v>59</v>
      </c>
      <c r="B57">
        <f>MAX(B2:B54)</f>
        <v>95</v>
      </c>
    </row>
    <row r="58" spans="1:11" x14ac:dyDescent="0.3">
      <c r="A58" t="s">
        <v>60</v>
      </c>
      <c r="B58">
        <f>MAX(D2:D54)</f>
        <v>96</v>
      </c>
    </row>
    <row r="59" spans="1:11" x14ac:dyDescent="0.3">
      <c r="A59" t="s">
        <v>61</v>
      </c>
      <c r="B59">
        <f>MAX(F2:F54)</f>
        <v>95</v>
      </c>
    </row>
    <row r="60" spans="1:11" x14ac:dyDescent="0.3">
      <c r="A60" t="s">
        <v>62</v>
      </c>
      <c r="B60">
        <f>MAX(H2:H54)</f>
        <v>98</v>
      </c>
    </row>
  </sheetData>
  <autoFilter ref="B2:H54" xr:uid="{00000000-0001-0000-0000-000000000000}"/>
  <sortState xmlns:xlrd2="http://schemas.microsoft.com/office/spreadsheetml/2017/richdata2" ref="J3:J54">
    <sortCondition ref="J2:J54"/>
  </sortState>
  <phoneticPr fontId="3" type="noConversion"/>
  <conditionalFormatting sqref="B1:C1048576">
    <cfRule type="top10" dxfId="3" priority="3" rank="1"/>
  </conditionalFormatting>
  <conditionalFormatting sqref="B2:C54">
    <cfRule type="top10" dxfId="2" priority="5" rank="1"/>
    <cfRule type="top10" priority="6" rank="10"/>
    <cfRule type="top10" priority="7" rank="1"/>
    <cfRule type="top10" priority="8" percent="1" rank="1"/>
    <cfRule type="expression" priority="9">
      <formula>" number that is greatest"</formula>
    </cfRule>
    <cfRule type="colorScale" priority="10">
      <colorScale>
        <cfvo type="num" val="0"/>
        <cfvo type="max"/>
        <color rgb="FFFF7128"/>
        <color rgb="FFFFEF9C"/>
      </colorScale>
    </cfRule>
  </conditionalFormatting>
  <conditionalFormatting sqref="J2:J54">
    <cfRule type="cellIs" dxfId="1" priority="1" operator="lessThan">
      <formula>80</formula>
    </cfRule>
    <cfRule type="cellIs" dxfId="0" priority="4" operator="lessThan">
      <formula>85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 DESKTOP</dc:creator>
  <cp:lastModifiedBy>LHRICSPM2266500</cp:lastModifiedBy>
  <dcterms:created xsi:type="dcterms:W3CDTF">2015-06-05T18:17:20Z</dcterms:created>
  <dcterms:modified xsi:type="dcterms:W3CDTF">2025-06-10T11:47:29Z</dcterms:modified>
</cp:coreProperties>
</file>